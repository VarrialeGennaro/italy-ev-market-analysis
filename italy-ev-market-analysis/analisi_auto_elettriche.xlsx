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ach\Desktop\Progetto elettrico\"/>
    </mc:Choice>
  </mc:AlternateContent>
  <xr:revisionPtr revIDLastSave="0" documentId="13_ncr:1_{6D8FDA51-FA30-4B3F-9F64-3CC24737200C}" xr6:coauthVersionLast="47" xr6:coauthVersionMax="47" xr10:uidLastSave="{00000000-0000-0000-0000-000000000000}"/>
  <bookViews>
    <workbookView xWindow="-108" yWindow="-108" windowWidth="23256" windowHeight="12456" xr2:uid="{BF07CDE6-89E2-48C0-B586-0547597115EC}"/>
  </bookViews>
  <sheets>
    <sheet name="Foglio1" sheetId="1" r:id="rId1"/>
  </sheets>
  <calcPr calcId="191029"/>
  <pivotCaches>
    <pivotCache cacheId="3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<sst xmlns="http://schemas.openxmlformats.org/spreadsheetml/2006/main" count="29" uniqueCount="19">
  <si>
    <t>Anno</t>
  </si>
  <si>
    <t>Quota di Mercato (%)</t>
  </si>
  <si>
    <t>Totale Immatricolazioni Elettriche</t>
  </si>
  <si>
    <t>Variazioni annuali</t>
  </si>
  <si>
    <t>Etichette di riga</t>
  </si>
  <si>
    <t>Totale complessivo</t>
  </si>
  <si>
    <t>2014</t>
  </si>
  <si>
    <t>2015</t>
  </si>
  <si>
    <t>2017</t>
  </si>
  <si>
    <t>2018</t>
  </si>
  <si>
    <t>2019</t>
  </si>
  <si>
    <t>2021</t>
  </si>
  <si>
    <t>2022</t>
  </si>
  <si>
    <t>2023</t>
  </si>
  <si>
    <t>2024</t>
  </si>
  <si>
    <t>2016</t>
  </si>
  <si>
    <t xml:space="preserve"> Quota di Mercato (%)</t>
  </si>
  <si>
    <t xml:space="preserve"> Immatricolazioni</t>
  </si>
  <si>
    <t xml:space="preserve">  Variazioni Annuali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</si>
</sst>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0" fontId="0" fillId="0" borderId="0" xfId="0" applyNumberFormat="1"/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10" fontId="1" fillId="4" borderId="3" xfId="0" applyNumberFormat="1" applyFont="1" applyFill="1" applyBorder="1" applyAlignment="1">
      <alignment horizontal="left" vertical="center" wrapText="1" indent="1" readingOrder="1"/>
    </xf>
    <xf numFmtId="10" fontId="1" fillId="4" borderId="9" xfId="0" applyNumberFormat="1" applyFont="1" applyFill="1" applyBorder="1" applyAlignment="1">
      <alignment horizontal="left" vertical="center" wrapText="1" indent="1" readingOrder="1"/>
    </xf>
    <xf numFmtId="10" fontId="1" fillId="5" borderId="1" xfId="0" applyNumberFormat="1" applyFont="1" applyFill="1" applyBorder="1" applyAlignment="1">
      <alignment horizontal="left" vertical="center" wrapText="1" indent="1" readingOrder="1"/>
    </xf>
    <xf numFmtId="10" fontId="1" fillId="5" borderId="8" xfId="0" applyNumberFormat="1" applyFont="1" applyFill="1" applyBorder="1" applyAlignment="1">
      <alignment horizontal="left" vertical="center" wrapText="1" indent="1" readingOrder="1"/>
    </xf>
    <xf numFmtId="0" fontId="0" fillId="0" borderId="0" xfId="0" applyNumberFormat="1"/>
    <xf numFmtId="2" fontId="2" fillId="6" borderId="2" xfId="0" applyNumberFormat="1" applyFont="1" applyFill="1" applyBorder="1" applyAlignment="1">
      <alignment horizontal="left" vertical="center" wrapText="1" indent="1" readingOrder="1"/>
    </xf>
    <xf numFmtId="2" fontId="2" fillId="6" borderId="7" xfId="0" applyNumberFormat="1" applyFont="1" applyFill="1" applyBorder="1" applyAlignment="1">
      <alignment horizontal="left" vertical="center" wrapText="1" indent="1" readingOrder="1"/>
    </xf>
    <xf numFmtId="0" fontId="2" fillId="2" borderId="4" xfId="0" applyNumberFormat="1" applyFont="1" applyFill="1" applyBorder="1" applyAlignment="1">
      <alignment horizontal="left" vertical="center" wrapText="1" indent="1" readingOrder="1"/>
    </xf>
    <xf numFmtId="0" fontId="0" fillId="0" borderId="0" xfId="0" pivotButton="1" applyNumberFormat="1"/>
    <xf numFmtId="0" fontId="0" fillId="0" borderId="0" xfId="0" applyNumberFormat="1" applyAlignment="1">
      <alignment horizontal="left"/>
    </xf>
    <xf numFmtId="1" fontId="2" fillId="6" borderId="2" xfId="0" applyNumberFormat="1" applyFont="1" applyFill="1" applyBorder="1" applyAlignment="1">
      <alignment horizontal="left" vertical="center" wrapText="1" indent="1" readingOrder="1"/>
    </xf>
    <xf numFmtId="1" fontId="2" fillId="6" borderId="7" xfId="0" applyNumberFormat="1" applyFont="1" applyFill="1" applyBorder="1" applyAlignment="1">
      <alignment horizontal="left" vertical="center" wrapText="1" indent="1" readingOrder="1"/>
    </xf>
    <xf numFmtId="1" fontId="1" fillId="3" borderId="1" xfId="0" applyNumberFormat="1" applyFont="1" applyFill="1" applyBorder="1" applyAlignment="1">
      <alignment horizontal="left" vertical="center" wrapText="1" indent="1" readingOrder="1"/>
    </xf>
    <xf numFmtId="1" fontId="1" fillId="3" borderId="8" xfId="0" applyNumberFormat="1" applyFont="1" applyFill="1" applyBorder="1" applyAlignment="1">
      <alignment horizontal="left" vertical="center" wrapText="1" indent="1" readingOrder="1"/>
    </xf>
  </cellXfs>
  <cellStyles count="1">
    <cellStyle name="Normale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fill>
        <patternFill patternType="solid">
          <fgColor indexed="64"/>
          <bgColor rgb="FFFFC000"/>
        </patternFill>
      </fill>
      <alignment horizontal="left" vertical="center" textRotation="0" wrapText="1" indent="1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fill>
        <patternFill patternType="solid">
          <fgColor indexed="64"/>
          <bgColor theme="9" tint="0.39997558519241921"/>
        </patternFill>
      </fill>
      <alignment horizontal="left" vertical="center" textRotation="0" wrapText="1" indent="1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left" vertical="center" textRotation="0" wrapText="1" indent="1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 Elettrico da finire bozza 2.xlsx]Foglio1!Tabella pivot28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Trend Immatricolazioni Auto Elettriche in Italia 2014-2025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Foglio1!$D$17</c:f>
              <c:strCache>
                <c:ptCount val="1"/>
                <c:pt idx="0">
                  <c:v> Immatricolazioni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Foglio1!$C$18:$C$30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Foglio1!$D$18:$D$30</c:f>
              <c:numCache>
                <c:formatCode>General</c:formatCode>
                <c:ptCount val="12"/>
                <c:pt idx="0">
                  <c:v>1100</c:v>
                </c:pt>
                <c:pt idx="1">
                  <c:v>1452</c:v>
                </c:pt>
                <c:pt idx="2">
                  <c:v>1377</c:v>
                </c:pt>
                <c:pt idx="3">
                  <c:v>2020</c:v>
                </c:pt>
                <c:pt idx="4">
                  <c:v>4998</c:v>
                </c:pt>
                <c:pt idx="5">
                  <c:v>10671</c:v>
                </c:pt>
                <c:pt idx="6">
                  <c:v>32491</c:v>
                </c:pt>
                <c:pt idx="7">
                  <c:v>67267</c:v>
                </c:pt>
                <c:pt idx="8">
                  <c:v>49165</c:v>
                </c:pt>
                <c:pt idx="9">
                  <c:v>66313</c:v>
                </c:pt>
                <c:pt idx="10">
                  <c:v>64626</c:v>
                </c:pt>
                <c:pt idx="11">
                  <c:v>94675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C74-4EA1-8870-2F3B19BB3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7992928"/>
        <c:axId val="438844976"/>
      </c:lineChart>
      <c:lineChart>
        <c:grouping val="standard"/>
        <c:varyColors val="0"/>
        <c:ser>
          <c:idx val="1"/>
          <c:order val="1"/>
          <c:tx>
            <c:strRef>
              <c:f>Foglio1!$E$17</c:f>
              <c:strCache>
                <c:ptCount val="1"/>
                <c:pt idx="0">
                  <c:v>  Variazioni Annuali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Foglio1!$C$18:$C$30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Foglio1!$E$18:$E$30</c:f>
              <c:numCache>
                <c:formatCode>0.00%</c:formatCode>
                <c:ptCount val="12"/>
                <c:pt idx="0">
                  <c:v>0.27</c:v>
                </c:pt>
                <c:pt idx="1">
                  <c:v>0.32</c:v>
                </c:pt>
                <c:pt idx="2">
                  <c:v>-5.2999999999999999E-2</c:v>
                </c:pt>
                <c:pt idx="3">
                  <c:v>0.46700000000000003</c:v>
                </c:pt>
                <c:pt idx="4">
                  <c:v>1.474</c:v>
                </c:pt>
                <c:pt idx="5">
                  <c:v>1.135</c:v>
                </c:pt>
                <c:pt idx="6">
                  <c:v>2.0449999999999999</c:v>
                </c:pt>
                <c:pt idx="7">
                  <c:v>1.07</c:v>
                </c:pt>
                <c:pt idx="8">
                  <c:v>-2.6900000000000001E-3</c:v>
                </c:pt>
                <c:pt idx="9">
                  <c:v>3.5000000000000001E-3</c:v>
                </c:pt>
                <c:pt idx="10">
                  <c:v>-0.01</c:v>
                </c:pt>
                <c:pt idx="11">
                  <c:v>0.443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C74-4EA1-8870-2F3B19BB3C72}"/>
            </c:ext>
          </c:extLst>
        </c:ser>
        <c:ser>
          <c:idx val="2"/>
          <c:order val="2"/>
          <c:tx>
            <c:strRef>
              <c:f>Foglio1!$F$17</c:f>
              <c:strCache>
                <c:ptCount val="1"/>
                <c:pt idx="0">
                  <c:v> Quota di Mercato (%)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Foglio1!$C$18:$C$30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Foglio1!$F$18:$F$30</c:f>
              <c:numCache>
                <c:formatCode>0.00%</c:formatCode>
                <c:ptCount val="12"/>
                <c:pt idx="0">
                  <c:v>8.0000000000000004E-4</c:v>
                </c:pt>
                <c:pt idx="1">
                  <c:v>8.9999999999999998E-4</c:v>
                </c:pt>
                <c:pt idx="2">
                  <c:v>8.0000000000000004E-4</c:v>
                </c:pt>
                <c:pt idx="3">
                  <c:v>1E-3</c:v>
                </c:pt>
                <c:pt idx="4">
                  <c:v>2.5999999999999999E-3</c:v>
                </c:pt>
                <c:pt idx="5">
                  <c:v>5.5999999999999999E-3</c:v>
                </c:pt>
                <c:pt idx="6">
                  <c:v>2.4E-2</c:v>
                </c:pt>
                <c:pt idx="7">
                  <c:v>4.6100000000000002E-2</c:v>
                </c:pt>
                <c:pt idx="8">
                  <c:v>3.73E-2</c:v>
                </c:pt>
                <c:pt idx="9">
                  <c:v>4.2299999999999997E-2</c:v>
                </c:pt>
                <c:pt idx="10">
                  <c:v>4.2000000000000003E-2</c:v>
                </c:pt>
                <c:pt idx="11">
                  <c:v>6.2E-2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C74-4EA1-8870-2F3B19BB3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497088"/>
        <c:axId val="2123729872"/>
      </c:lineChart>
      <c:catAx>
        <c:axId val="65799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8844976"/>
        <c:crosses val="autoZero"/>
        <c:auto val="1"/>
        <c:lblAlgn val="ctr"/>
        <c:lblOffset val="100"/>
        <c:noMultiLvlLbl val="0"/>
      </c:catAx>
      <c:valAx>
        <c:axId val="4388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7992928"/>
        <c:crosses val="autoZero"/>
        <c:crossBetween val="between"/>
      </c:valAx>
      <c:valAx>
        <c:axId val="212372987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4497088"/>
        <c:crosses val="max"/>
        <c:crossBetween val="between"/>
      </c:valAx>
      <c:catAx>
        <c:axId val="724497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23729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258634</xdr:colOff>
      <xdr:row>1</xdr:row>
      <xdr:rowOff>135593</xdr:rowOff>
    </xdr:from>
    <xdr:to>
      <xdr:col>10</xdr:col>
      <xdr:colOff>331694</xdr:colOff>
      <xdr:row>30</xdr:row>
      <xdr:rowOff>8964</xdr:rowOff>
    </xdr:to>
    <xdr:graphicFrame macro="">
      <xdr:nvGraphicFramePr>
        <xdr:cNvPr id="25" name="Grafico 24">
          <a:extLst>
            <a:ext uri="{FF2B5EF4-FFF2-40B4-BE49-F238E27FC236}">
              <a16:creationId xmlns:a16="http://schemas.microsoft.com/office/drawing/2014/main" id="{F3E370C0-2D2A-C8F5-96F1-B46D0EA70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 W" refreshedDate="46206.448878009258" createdVersion="8" refreshedVersion="8" minRefreshableVersion="3" recordCount="12" xr:uid="{29000947-0D01-4F6F-A7CA-7D4980F4C009}">
  <cacheSource type="worksheet">
    <worksheetSource name="Tabella1"/>
  </cacheSource>
  <cacheFields count="4">
    <cacheField name="Anno" numFmtId="0">
      <sharedItems containsMixedTypes="1" containsNumber="1" containsInteger="1" minValue="2016" maxValue="2025" count="13">
        <s v="2014"/>
        <s v="2015"/>
        <s v="2016"/>
        <s v="2017"/>
        <s v="2018"/>
        <s v="2019"/>
        <n v="2020"/>
        <s v="2021"/>
        <s v="2022"/>
        <s v="2023"/>
        <s v="2024"/>
        <n v="2025"/>
        <n v="2016" u="1"/>
      </sharedItems>
    </cacheField>
    <cacheField name="Totale Immatricolazioni Elettriche" numFmtId="2">
      <sharedItems containsSemiMixedTypes="0" containsString="0" containsNumber="1" containsInteger="1" minValue="1100" maxValue="94675"/>
    </cacheField>
    <cacheField name="Variazioni annuali" numFmtId="10">
      <sharedItems containsSemiMixedTypes="0" containsString="0" containsNumber="1" minValue="-5.2999999999999999E-2" maxValue="2.0449999999999999"/>
    </cacheField>
    <cacheField name="Quota di Mercato (%)" numFmtId="10">
      <sharedItems containsSemiMixedTypes="0" containsString="0" containsNumber="1" minValue="8.0000000000000004E-4" maxValue="6.2E-2" count="11">
        <n v="8.0000000000000004E-4"/>
        <n v="8.9999999999999998E-4"/>
        <n v="1E-3"/>
        <n v="2.5999999999999999E-3"/>
        <n v="5.5999999999999999E-3"/>
        <n v="2.4E-2"/>
        <n v="4.6100000000000002E-2"/>
        <n v="3.73E-2"/>
        <n v="4.2299999999999997E-2"/>
        <n v="4.2000000000000003E-2"/>
        <n v="6.2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100"/>
    <n v="0.27"/>
    <x v="0"/>
  </r>
  <r>
    <x v="1"/>
    <n v="1452"/>
    <n v="0.32"/>
    <x v="1"/>
  </r>
  <r>
    <x v="2"/>
    <n v="1377"/>
    <n v="-5.2999999999999999E-2"/>
    <x v="0"/>
  </r>
  <r>
    <x v="3"/>
    <n v="2020"/>
    <n v="0.46700000000000003"/>
    <x v="2"/>
  </r>
  <r>
    <x v="4"/>
    <n v="4998"/>
    <n v="1.474"/>
    <x v="3"/>
  </r>
  <r>
    <x v="5"/>
    <n v="10671"/>
    <n v="1.135"/>
    <x v="4"/>
  </r>
  <r>
    <x v="6"/>
    <n v="32491"/>
    <n v="2.0449999999999999"/>
    <x v="5"/>
  </r>
  <r>
    <x v="7"/>
    <n v="67267"/>
    <n v="1.07"/>
    <x v="6"/>
  </r>
  <r>
    <x v="8"/>
    <n v="49165"/>
    <n v="-2.6900000000000001E-3"/>
    <x v="7"/>
  </r>
  <r>
    <x v="9"/>
    <n v="66313"/>
    <n v="3.5000000000000001E-3"/>
    <x v="8"/>
  </r>
  <r>
    <x v="10"/>
    <n v="64626"/>
    <n v="-0.01"/>
    <x v="9"/>
  </r>
  <r>
    <x v="11"/>
    <n v="94675"/>
    <n v="0.44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454CA-AEF1-48FB-AEF6-ECF69A7BC6FB}" name="Tabella pivot28" cacheId="3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9">
  <location ref="C17:F30" firstHeaderRow="0" firstDataRow="1" firstDataCol="1"/>
  <pivotFields count="4">
    <pivotField axis="axisRow" numFmtId="49" showAll="0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numFmtId="10" showAll="0"/>
    <pivotField dataField="1" numFmtId="10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Immatricolazioni" fld="1" baseField="0" baseItem="1"/>
    <dataField name="  Variazioni Annuali" fld="2" baseField="0" baseItem="1" numFmtId="10"/>
    <dataField name=" Quota di Mercato (%)" fld="3" baseField="0" baseItem="1" numFmtId="10"/>
  </dataFields>
  <formats count="3">
    <format dxfId="23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</formats>
  <chartFormats count="3"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C676F-8D86-42DA-B4D0-51E9E55A3D76}" name="Tabella1" displayName="Tabella1" ref="C3:F15" totalsRowShown="0" headerRowDxfId="10" headerRowBorderDxfId="8" tableBorderDxfId="9" totalsRowBorderDxfId="7">
  <autoFilter ref="C3:F15" xr:uid="{C00C676F-8D86-42DA-B4D0-51E9E55A3D76}"/>
  <sortState xmlns:xlrd2="http://schemas.microsoft.com/office/spreadsheetml/2017/richdata2" ref="C4:F15">
    <sortCondition ref="C3:C15"/>
  </sortState>
  <tableColumns count="4">
    <tableColumn id="1" xr3:uid="{D5A2FE09-6D47-494D-95DF-B6F2E555CF52}" name="Anno" dataDxfId="6"/>
    <tableColumn id="2" xr3:uid="{0953E90F-FA15-4AB8-B3B3-E26A7C2E9073}" name="Totale Immatricolazioni Elettriche" dataDxfId="3"/>
    <tableColumn id="3" xr3:uid="{DE9AECE1-CCBF-442C-99BF-0ECBEBDD1349}" name="Variazioni annuali" dataDxfId="5"/>
    <tableColumn id="4" xr3:uid="{C708C6C4-D05D-4D13-8D6A-8557B48B78E6}" name="Quota di Mercato (%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2FF2-3964-43A9-A7AB-C08AC0283F04}">
  <sheetPr>
    <pageSetUpPr autoPageBreaks="0"/>
  </sheetPr>
  <dimension ref="B3:F30"/>
  <sheetViews>
    <sheetView tabSelected="1" zoomScale="85" zoomScaleNormal="85" workbookViewId="0">
      <selection activeCell="F17" sqref="F17"/>
    </sheetView>
  </sheetViews>
  <sheetFormatPr defaultRowHeight="14.4" x14ac:dyDescent="0.3"/>
  <cols>
    <col min="2" max="2" width="17.33203125" style="8" bestFit="1" customWidth="1"/>
    <col min="3" max="3" width="15.88671875" bestFit="1" customWidth="1"/>
    <col min="4" max="4" width="17.109375" bestFit="1" customWidth="1"/>
    <col min="5" max="5" width="19.44140625" bestFit="1" customWidth="1"/>
    <col min="6" max="6" width="18.77734375" customWidth="1"/>
    <col min="7" max="7" width="21.109375" customWidth="1"/>
    <col min="8" max="8" width="39.5546875" bestFit="1" customWidth="1"/>
    <col min="9" max="9" width="25.44140625" bestFit="1" customWidth="1"/>
    <col min="10" max="10" width="28.33203125" bestFit="1" customWidth="1"/>
    <col min="11" max="11" width="24.88671875" bestFit="1" customWidth="1"/>
    <col min="12" max="12" width="8.109375" bestFit="1" customWidth="1"/>
    <col min="13" max="13" width="7.109375" bestFit="1" customWidth="1"/>
    <col min="14" max="14" width="44.109375" bestFit="1" customWidth="1"/>
    <col min="15" max="15" width="30.33203125" bestFit="1" customWidth="1"/>
    <col min="16" max="16" width="32.88671875" bestFit="1" customWidth="1"/>
    <col min="17" max="17" width="38.77734375" bestFit="1" customWidth="1"/>
    <col min="18" max="18" width="29.33203125" bestFit="1" customWidth="1"/>
    <col min="19" max="19" width="43.21875" bestFit="1" customWidth="1"/>
    <col min="20" max="20" width="30.33203125" bestFit="1" customWidth="1"/>
    <col min="21" max="21" width="44.109375" bestFit="1" customWidth="1"/>
  </cols>
  <sheetData>
    <row r="3" spans="3:6" ht="55.2" x14ac:dyDescent="0.3">
      <c r="C3" s="11" t="s">
        <v>0</v>
      </c>
      <c r="D3" s="2" t="s">
        <v>2</v>
      </c>
      <c r="E3" s="2" t="s">
        <v>3</v>
      </c>
      <c r="F3" s="3" t="s">
        <v>1</v>
      </c>
    </row>
    <row r="4" spans="3:6" x14ac:dyDescent="0.3">
      <c r="C4" s="9" t="s">
        <v>6</v>
      </c>
      <c r="D4" s="16">
        <v>1100</v>
      </c>
      <c r="E4" s="6">
        <v>0.27</v>
      </c>
      <c r="F4" s="4">
        <v>8.0000000000000004E-4</v>
      </c>
    </row>
    <row r="5" spans="3:6" x14ac:dyDescent="0.3">
      <c r="C5" s="9" t="s">
        <v>7</v>
      </c>
      <c r="D5" s="16">
        <v>1452</v>
      </c>
      <c r="E5" s="6">
        <v>0.32</v>
      </c>
      <c r="F5" s="4">
        <v>8.9999999999999998E-4</v>
      </c>
    </row>
    <row r="6" spans="3:6" x14ac:dyDescent="0.3">
      <c r="C6" s="9" t="s">
        <v>15</v>
      </c>
      <c r="D6" s="16">
        <v>1377</v>
      </c>
      <c r="E6" s="6">
        <v>-5.2999999999999999E-2</v>
      </c>
      <c r="F6" s="4">
        <v>8.0000000000000004E-4</v>
      </c>
    </row>
    <row r="7" spans="3:6" x14ac:dyDescent="0.3">
      <c r="C7" s="9" t="s">
        <v>8</v>
      </c>
      <c r="D7" s="16">
        <v>2020</v>
      </c>
      <c r="E7" s="6">
        <v>0.46700000000000003</v>
      </c>
      <c r="F7" s="4">
        <v>1E-3</v>
      </c>
    </row>
    <row r="8" spans="3:6" x14ac:dyDescent="0.3">
      <c r="C8" s="9" t="s">
        <v>9</v>
      </c>
      <c r="D8" s="16">
        <v>4998</v>
      </c>
      <c r="E8" s="6">
        <v>1.474</v>
      </c>
      <c r="F8" s="4">
        <v>2.5999999999999999E-3</v>
      </c>
    </row>
    <row r="9" spans="3:6" x14ac:dyDescent="0.3">
      <c r="C9" s="9" t="s">
        <v>10</v>
      </c>
      <c r="D9" s="16">
        <v>10671</v>
      </c>
      <c r="E9" s="6">
        <v>1.135</v>
      </c>
      <c r="F9" s="4">
        <v>5.5999999999999999E-3</v>
      </c>
    </row>
    <row r="10" spans="3:6" x14ac:dyDescent="0.3">
      <c r="C10" s="14">
        <v>2020</v>
      </c>
      <c r="D10" s="16">
        <v>32491</v>
      </c>
      <c r="E10" s="6">
        <v>2.0449999999999999</v>
      </c>
      <c r="F10" s="4">
        <v>2.4E-2</v>
      </c>
    </row>
    <row r="11" spans="3:6" x14ac:dyDescent="0.3">
      <c r="C11" s="10" t="s">
        <v>11</v>
      </c>
      <c r="D11" s="17">
        <v>67267</v>
      </c>
      <c r="E11" s="7">
        <v>1.07</v>
      </c>
      <c r="F11" s="5">
        <v>4.6100000000000002E-2</v>
      </c>
    </row>
    <row r="12" spans="3:6" x14ac:dyDescent="0.3">
      <c r="C12" s="10" t="s">
        <v>12</v>
      </c>
      <c r="D12" s="17">
        <v>49165</v>
      </c>
      <c r="E12" s="7">
        <v>-2.6900000000000001E-3</v>
      </c>
      <c r="F12" s="5">
        <v>3.73E-2</v>
      </c>
    </row>
    <row r="13" spans="3:6" x14ac:dyDescent="0.3">
      <c r="C13" s="10" t="s">
        <v>13</v>
      </c>
      <c r="D13" s="17">
        <v>66313</v>
      </c>
      <c r="E13" s="7">
        <v>3.5000000000000001E-3</v>
      </c>
      <c r="F13" s="5">
        <v>4.2299999999999997E-2</v>
      </c>
    </row>
    <row r="14" spans="3:6" x14ac:dyDescent="0.3">
      <c r="C14" s="10" t="s">
        <v>14</v>
      </c>
      <c r="D14" s="17">
        <v>64626</v>
      </c>
      <c r="E14" s="7">
        <v>-0.01</v>
      </c>
      <c r="F14" s="5">
        <v>4.2000000000000003E-2</v>
      </c>
    </row>
    <row r="15" spans="3:6" x14ac:dyDescent="0.3">
      <c r="C15" s="15">
        <v>2025</v>
      </c>
      <c r="D15" s="17">
        <v>94675</v>
      </c>
      <c r="E15" s="7">
        <v>0.443</v>
      </c>
      <c r="F15" s="5">
        <v>6.2E-2</v>
      </c>
    </row>
    <row r="17" spans="3:6" x14ac:dyDescent="0.3">
      <c r="C17" s="12" t="s">
        <v>4</v>
      </c>
      <c r="D17" t="s">
        <v>17</v>
      </c>
      <c r="E17" t="s">
        <v>18</v>
      </c>
      <c r="F17" t="s">
        <v>16</v>
      </c>
    </row>
    <row r="18" spans="3:6" x14ac:dyDescent="0.3">
      <c r="C18" s="13" t="s">
        <v>6</v>
      </c>
      <c r="D18" s="8">
        <v>1100</v>
      </c>
      <c r="E18" s="1">
        <v>0.27</v>
      </c>
      <c r="F18" s="1">
        <v>8.0000000000000004E-4</v>
      </c>
    </row>
    <row r="19" spans="3:6" x14ac:dyDescent="0.3">
      <c r="C19" s="13" t="s">
        <v>7</v>
      </c>
      <c r="D19" s="8">
        <v>1452</v>
      </c>
      <c r="E19" s="1">
        <v>0.32</v>
      </c>
      <c r="F19" s="1">
        <v>8.9999999999999998E-4</v>
      </c>
    </row>
    <row r="20" spans="3:6" x14ac:dyDescent="0.3">
      <c r="C20" s="13" t="s">
        <v>15</v>
      </c>
      <c r="D20" s="8">
        <v>1377</v>
      </c>
      <c r="E20" s="1">
        <v>-5.2999999999999999E-2</v>
      </c>
      <c r="F20" s="1">
        <v>8.0000000000000004E-4</v>
      </c>
    </row>
    <row r="21" spans="3:6" x14ac:dyDescent="0.3">
      <c r="C21" s="13" t="s">
        <v>8</v>
      </c>
      <c r="D21" s="8">
        <v>2020</v>
      </c>
      <c r="E21" s="1">
        <v>0.46700000000000003</v>
      </c>
      <c r="F21" s="1">
        <v>1E-3</v>
      </c>
    </row>
    <row r="22" spans="3:6" x14ac:dyDescent="0.3">
      <c r="C22" s="13" t="s">
        <v>9</v>
      </c>
      <c r="D22" s="8">
        <v>4998</v>
      </c>
      <c r="E22" s="1">
        <v>1.474</v>
      </c>
      <c r="F22" s="1">
        <v>2.5999999999999999E-3</v>
      </c>
    </row>
    <row r="23" spans="3:6" x14ac:dyDescent="0.3">
      <c r="C23" s="13" t="s">
        <v>10</v>
      </c>
      <c r="D23" s="8">
        <v>10671</v>
      </c>
      <c r="E23" s="1">
        <v>1.135</v>
      </c>
      <c r="F23" s="1">
        <v>5.5999999999999999E-3</v>
      </c>
    </row>
    <row r="24" spans="3:6" x14ac:dyDescent="0.3">
      <c r="C24" s="13">
        <v>2020</v>
      </c>
      <c r="D24" s="8">
        <v>32491</v>
      </c>
      <c r="E24" s="1">
        <v>2.0449999999999999</v>
      </c>
      <c r="F24" s="1">
        <v>2.4E-2</v>
      </c>
    </row>
    <row r="25" spans="3:6" x14ac:dyDescent="0.3">
      <c r="C25" s="13" t="s">
        <v>11</v>
      </c>
      <c r="D25" s="8">
        <v>67267</v>
      </c>
      <c r="E25" s="1">
        <v>1.07</v>
      </c>
      <c r="F25" s="1">
        <v>4.6100000000000002E-2</v>
      </c>
    </row>
    <row r="26" spans="3:6" x14ac:dyDescent="0.3">
      <c r="C26" s="13" t="s">
        <v>12</v>
      </c>
      <c r="D26" s="8">
        <v>49165</v>
      </c>
      <c r="E26" s="1">
        <v>-2.6900000000000001E-3</v>
      </c>
      <c r="F26" s="1">
        <v>3.73E-2</v>
      </c>
    </row>
    <row r="27" spans="3:6" x14ac:dyDescent="0.3">
      <c r="C27" s="13" t="s">
        <v>13</v>
      </c>
      <c r="D27" s="8">
        <v>66313</v>
      </c>
      <c r="E27" s="1">
        <v>3.5000000000000001E-3</v>
      </c>
      <c r="F27" s="1">
        <v>4.2299999999999997E-2</v>
      </c>
    </row>
    <row r="28" spans="3:6" x14ac:dyDescent="0.3">
      <c r="C28" s="13" t="s">
        <v>14</v>
      </c>
      <c r="D28" s="8">
        <v>64626</v>
      </c>
      <c r="E28" s="1">
        <v>-0.01</v>
      </c>
      <c r="F28" s="1">
        <v>4.2000000000000003E-2</v>
      </c>
    </row>
    <row r="29" spans="3:6" x14ac:dyDescent="0.3">
      <c r="C29" s="13">
        <v>2025</v>
      </c>
      <c r="D29" s="8">
        <v>94675</v>
      </c>
      <c r="E29" s="1">
        <v>0.443</v>
      </c>
      <c r="F29" s="1">
        <v>6.2E-2</v>
      </c>
    </row>
    <row r="30" spans="3:6" x14ac:dyDescent="0.3">
      <c r="C30" s="13" t="s">
        <v>5</v>
      </c>
      <c r="D30" s="8">
        <v>396155</v>
      </c>
      <c r="E30" s="1">
        <v>7.1618099999999991</v>
      </c>
      <c r="F30" s="1">
        <v>0.26539999999999997</v>
      </c>
    </row>
  </sheetData>
  <phoneticPr fontId="3" type="noConversion"/>
  <pageMargins left="0.7" right="0.7" top="0.75" bottom="0.75" header="0.3" footer="0.3"/>
  <pageSetup paperSize="9" orientation="portrait" horizontalDpi="0" verticalDpi="0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varrialegennaro89@gmail.com</dc:creator>
  <cp:lastModifiedBy>varrialegennaro89@gmail.com</cp:lastModifiedBy>
  <dcterms:created xsi:type="dcterms:W3CDTF">2026-07-02T16:42:38Z</dcterms:created>
  <dcterms:modified xsi:type="dcterms:W3CDTF">2026-07-03T09:19:24Z</dcterms:modified>
</cp:coreProperties>
</file>